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y PMO\My PMO Book\My Course\Stage 5_Reference\Reports (2)\"/>
    </mc:Choice>
  </mc:AlternateContent>
  <xr:revisionPtr revIDLastSave="0" documentId="13_ncr:1_{FD524E0F-E19C-4C28-BED9-227383A2864C}" xr6:coauthVersionLast="45" xr6:coauthVersionMax="45" xr10:uidLastSave="{00000000-0000-0000-0000-000000000000}"/>
  <bookViews>
    <workbookView xWindow="-120" yWindow="-120" windowWidth="19440" windowHeight="11310" xr2:uid="{00000000-000D-0000-FFFF-FFFF00000000}"/>
  </bookViews>
  <sheets>
    <sheet name="Dashboard" sheetId="1" r:id="rId1"/>
  </sheets>
  <definedNames>
    <definedName name="_xlnm.Print_Area" localSheetId="0">Dashboard!$A$1:$N$29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20" i="1" l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G24" i="1"/>
  <c r="G25" i="1"/>
  <c r="G23" i="1"/>
  <c r="G18" i="1"/>
  <c r="G19" i="1"/>
  <c r="G17" i="1"/>
  <c r="G12" i="1"/>
  <c r="G13" i="1"/>
  <c r="G11" i="1"/>
  <c r="G5" i="1"/>
  <c r="G6" i="1"/>
  <c r="G7" i="1"/>
</calcChain>
</file>

<file path=xl/sharedStrings.xml><?xml version="1.0" encoding="utf-8"?>
<sst xmlns="http://schemas.openxmlformats.org/spreadsheetml/2006/main" count="86" uniqueCount="47">
  <si>
    <t>% of projects aligned with strategic objectives</t>
  </si>
  <si>
    <t>% of resource utilization</t>
  </si>
  <si>
    <t>% of projects on time</t>
  </si>
  <si>
    <t>% of projects on budget</t>
  </si>
  <si>
    <t>Target</t>
  </si>
  <si>
    <t>Q1</t>
  </si>
  <si>
    <t>Q2</t>
  </si>
  <si>
    <t>Q3</t>
  </si>
  <si>
    <t>Q4</t>
  </si>
  <si>
    <t>% of defects per project</t>
  </si>
  <si>
    <t># of projects by PM</t>
  </si>
  <si>
    <t>PMO</t>
  </si>
  <si>
    <t>Delivery</t>
  </si>
  <si>
    <t>Strategy</t>
  </si>
  <si>
    <t># of hours of coaching provided</t>
  </si>
  <si>
    <t>Capability</t>
  </si>
  <si>
    <t>% of PMs with PMP certification</t>
  </si>
  <si>
    <t># of days from idea to initiation</t>
  </si>
  <si>
    <t>% of projects with a clear sponsor</t>
  </si>
  <si>
    <t>Comments on Last Update:</t>
  </si>
  <si>
    <t>% of projects with valid business cases</t>
  </si>
  <si>
    <t>PMO KEY PERFORMANCE INDICATORS DASHBOARD</t>
  </si>
  <si>
    <t>Provide a comment on the last update here. What is preventing you from achievening the targets? What are the necessary actions?</t>
  </si>
  <si>
    <t>Rating</t>
  </si>
  <si>
    <t>% Satisfaction score</t>
  </si>
  <si>
    <t>Maturity</t>
  </si>
  <si>
    <t>Management / Operation Plan</t>
  </si>
  <si>
    <t>Benefits Management</t>
  </si>
  <si>
    <t>Budgeting Management</t>
  </si>
  <si>
    <t>Quality Management</t>
  </si>
  <si>
    <t>Change Management</t>
  </si>
  <si>
    <t>Resource Management</t>
  </si>
  <si>
    <t>Communication Management</t>
  </si>
  <si>
    <t>Repository Management</t>
  </si>
  <si>
    <t>Reporting &amp; Tools Management</t>
  </si>
  <si>
    <t>Procurement Management</t>
  </si>
  <si>
    <t>Portfolio Management</t>
  </si>
  <si>
    <t>Governance / Audit</t>
  </si>
  <si>
    <t>PMO Assessment / Training</t>
  </si>
  <si>
    <t>Schedule Management</t>
  </si>
  <si>
    <t>Strategic Alignment</t>
  </si>
  <si>
    <t>Roles &amp; Responsibilities</t>
  </si>
  <si>
    <t>Discpline / Control</t>
  </si>
  <si>
    <t>Model (1)</t>
  </si>
  <si>
    <t>Model (2)</t>
  </si>
  <si>
    <t>*Add more elements here…</t>
  </si>
  <si>
    <t>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</si>
</sst>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0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b/>
      <sz val="12"/>
      <color theme="5"/>
      <name val="Calibri"/>
      <family val="2"/>
    </font>
    <font>
      <b/>
      <sz val="11"/>
      <color theme="0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  <font>
      <b/>
      <sz val="12"/>
      <color rgb="FF00B050"/>
      <name val="Calibri"/>
      <family val="2"/>
    </font>
    <font>
      <b/>
      <sz val="12"/>
      <color rgb="FFFFC7CE"/>
      <name val="Calibri"/>
      <family val="2"/>
    </font>
    <font>
      <b/>
      <sz val="12"/>
      <color theme="8"/>
      <name val="Calibri"/>
      <family val="2"/>
    </font>
    <font>
      <b/>
      <sz val="11"/>
      <color rgb="FF403151"/>
      <name val="Calibri"/>
      <family val="2"/>
    </font>
    <font>
      <b/>
      <sz val="24"/>
      <color rgb="FF403151"/>
      <name val="Calibri"/>
      <family val="2"/>
    </font>
    <font>
      <b/>
      <sz val="9"/>
      <color theme="1"/>
      <name val="Calibri"/>
      <family val="2"/>
    </font>
    <font>
      <b/>
      <sz val="11"/>
      <color rgb="FF7030A0"/>
      <name val="Calibri"/>
      <family val="2"/>
    </font>
    <font>
      <b/>
      <sz val="12"/>
      <color theme="0"/>
      <name val="Calibri"/>
      <family val="2"/>
    </font>
    <font>
      <b/>
      <sz val="11"/>
      <color theme="5"/>
      <name val="Calibri"/>
      <family val="2"/>
    </font>
    <font>
      <b/>
      <sz val="11"/>
      <color rgb="FF00B050"/>
      <name val="Calibri"/>
      <family val="2"/>
    </font>
    <font>
      <b/>
      <sz val="11"/>
      <color rgb="FF9C0006"/>
      <name val="Calibri"/>
      <family val="2"/>
    </font>
    <font>
      <b/>
      <sz val="11"/>
      <color theme="8"/>
      <name val="Calibri"/>
      <family val="2"/>
    </font>
    <font>
      <sz val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403151"/>
        <bgColor indexed="64"/>
      </patternFill>
    </fill>
  </fills>
  <borders count="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 vertical="center"/>
    </xf>
    <xf numFmtId="0" fontId="2" fillId="0" borderId="0" xfId="0" applyFont="1"/>
    <xf numFmtId="0" fontId="4" fillId="4" borderId="1" xfId="0" applyFont="1" applyFill="1" applyBorder="1" applyAlignment="1">
      <alignment horizontal="center" vertical="center"/>
    </xf>
    <xf numFmtId="0" fontId="5" fillId="2" borderId="1" xfId="0" applyFont="1" applyFill="1" applyBorder="1"/>
    <xf numFmtId="0" fontId="5" fillId="3" borderId="1" xfId="0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 vertical="center"/>
    </xf>
    <xf numFmtId="9" fontId="6" fillId="2" borderId="1" xfId="1" applyFont="1" applyFill="1" applyBorder="1" applyAlignment="1">
      <alignment horizontal="center" vertical="center"/>
    </xf>
    <xf numFmtId="164" fontId="6" fillId="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" fillId="2" borderId="0" xfId="0" applyFont="1" applyFill="1" applyBorder="1"/>
    <xf numFmtId="9" fontId="6" fillId="0" borderId="1" xfId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indent="1"/>
    </xf>
    <xf numFmtId="0" fontId="12" fillId="2" borderId="1" xfId="0" applyFont="1" applyFill="1" applyBorder="1"/>
    <xf numFmtId="0" fontId="12" fillId="3" borderId="1" xfId="0" applyFont="1" applyFill="1" applyBorder="1" applyAlignment="1">
      <alignment horizontal="center"/>
    </xf>
    <xf numFmtId="9" fontId="12" fillId="3" borderId="1" xfId="0" applyNumberFormat="1" applyFont="1" applyFill="1" applyBorder="1" applyAlignment="1">
      <alignment horizontal="center"/>
    </xf>
    <xf numFmtId="9" fontId="6" fillId="2" borderId="1" xfId="1" applyNumberFormat="1" applyFont="1" applyFill="1" applyBorder="1" applyAlignment="1">
      <alignment horizontal="center" vertical="center"/>
    </xf>
    <xf numFmtId="0" fontId="12" fillId="0" borderId="1" xfId="0" applyFont="1" applyFill="1" applyBorder="1"/>
    <xf numFmtId="0" fontId="13" fillId="2" borderId="0" xfId="0" applyFont="1" applyFill="1"/>
    <xf numFmtId="0" fontId="13" fillId="2" borderId="0" xfId="0" applyFont="1" applyFill="1" applyAlignment="1">
      <alignment horizontal="center" vertical="center"/>
    </xf>
    <xf numFmtId="0" fontId="14" fillId="4" borderId="1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right" vertical="center" indent="1"/>
    </xf>
    <xf numFmtId="0" fontId="16" fillId="0" borderId="0" xfId="0" applyFont="1" applyFill="1" applyBorder="1" applyAlignment="1">
      <alignment horizontal="right" vertical="center" indent="1"/>
    </xf>
    <xf numFmtId="0" fontId="17" fillId="0" borderId="0" xfId="0" applyFont="1" applyFill="1" applyBorder="1" applyAlignment="1">
      <alignment horizontal="right" vertical="center" indent="1"/>
    </xf>
    <xf numFmtId="0" fontId="18" fillId="0" borderId="0" xfId="0" applyFont="1" applyFill="1" applyBorder="1" applyAlignment="1">
      <alignment horizontal="right" vertical="center" indent="1"/>
    </xf>
    <xf numFmtId="0" fontId="13" fillId="0" borderId="0" xfId="0" applyFont="1" applyFill="1" applyBorder="1" applyAlignment="1">
      <alignment horizontal="right" vertical="center" indent="1"/>
    </xf>
    <xf numFmtId="0" fontId="11" fillId="2" borderId="0" xfId="0" applyFont="1" applyFill="1" applyAlignment="1">
      <alignment horizontal="left" vertical="center"/>
    </xf>
    <xf numFmtId="0" fontId="19" fillId="0" borderId="0" xfId="0" applyFont="1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left" vertical="center"/>
    </xf>
  </cellXfs>
  <cellStyles count="2">
    <cellStyle name="Normal" xfId="0" builtinId="0"/>
    <cellStyle name="Percent" xfId="1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C0006"/>
      <color rgb="FF403151"/>
      <color rgb="FFFFC7CE"/>
      <color rgb="FF8064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XFD53"/>
  <sheetViews>
    <sheetView showGridLines="0" tabSelected="1" topLeftCell="A9" zoomScaleNormal="100" workbookViewId="0">
      <selection activeCell="A40" sqref="A40"/>
    </sheetView>
  </sheetViews>
  <sheetFormatPr defaultColWidth="0" defaultRowHeight="15" zeroHeight="1" x14ac:dyDescent="0.25"/>
  <cols>
    <col min="1" max="1" width="36.5" style="3" customWidth="1"/>
    <col min="2" max="2" width="6.375" style="3" bestFit="1" customWidth="1"/>
    <col min="3" max="7" width="6.25" style="19" customWidth="1"/>
    <col min="8" max="8" width="3" style="3" customWidth="1"/>
    <col min="9" max="9" width="20.625" style="3" bestFit="1" customWidth="1"/>
    <col min="10" max="13" width="6.25" style="19" customWidth="1"/>
    <col min="14" max="15" width="8.875" style="3" customWidth="1"/>
    <col min="16" max="16" width="0" style="3" hidden="1" customWidth="1"/>
    <col min="17" max="20" width="8.875" style="3" hidden="1" customWidth="1"/>
    <col min="21" max="22" width="0" style="3" hidden="1" customWidth="1"/>
    <col min="23" max="16383" width="8.875" style="3" hidden="1"/>
    <col min="16384" max="16384" width="1.625" style="3" customWidth="1"/>
  </cols>
  <sheetData>
    <row r="1" spans="1:15" x14ac:dyDescent="0.25">
      <c r="A1" s="1"/>
      <c r="B1" s="1"/>
      <c r="C1" s="2"/>
      <c r="D1" s="2"/>
      <c r="E1" s="2"/>
      <c r="F1" s="2"/>
      <c r="G1" s="2"/>
      <c r="H1" s="1"/>
      <c r="I1" s="1"/>
      <c r="J1" s="2"/>
      <c r="K1" s="2"/>
      <c r="L1" s="2"/>
      <c r="M1" s="2"/>
      <c r="N1" s="1"/>
    </row>
    <row r="2" spans="1:15" ht="31.5" x14ac:dyDescent="0.25">
      <c r="A2" s="38" t="s">
        <v>21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</row>
    <row r="3" spans="1:15" x14ac:dyDescent="0.25">
      <c r="A3" s="30" t="s">
        <v>43</v>
      </c>
      <c r="B3" s="30"/>
      <c r="C3" s="31"/>
      <c r="D3" s="31"/>
      <c r="E3" s="31"/>
      <c r="F3" s="31"/>
      <c r="G3" s="31"/>
      <c r="H3" s="30"/>
      <c r="I3" s="30" t="s">
        <v>44</v>
      </c>
      <c r="J3" s="2"/>
      <c r="K3" s="2"/>
      <c r="L3" s="2"/>
      <c r="M3" s="2"/>
      <c r="N3" s="1"/>
    </row>
    <row r="4" spans="1:15" ht="15.75" x14ac:dyDescent="0.25">
      <c r="A4" s="20" t="s">
        <v>11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23</v>
      </c>
      <c r="I4" s="32" t="s">
        <v>42</v>
      </c>
      <c r="J4" s="4" t="s">
        <v>4</v>
      </c>
      <c r="K4" s="4" t="s">
        <v>5</v>
      </c>
      <c r="L4" s="4" t="s">
        <v>6</v>
      </c>
      <c r="M4" s="4" t="s">
        <v>7</v>
      </c>
      <c r="N4" s="4" t="s">
        <v>8</v>
      </c>
      <c r="O4" s="4" t="s">
        <v>25</v>
      </c>
    </row>
    <row r="5" spans="1:15" x14ac:dyDescent="0.25">
      <c r="A5" s="25" t="s">
        <v>17</v>
      </c>
      <c r="B5" s="26">
        <v>15</v>
      </c>
      <c r="C5" s="8">
        <v>0.6</v>
      </c>
      <c r="D5" s="8">
        <v>0.7</v>
      </c>
      <c r="E5" s="8">
        <v>0.5</v>
      </c>
      <c r="F5" s="8">
        <v>0.45</v>
      </c>
      <c r="G5" s="28">
        <f>AVERAGE(C5:F5)</f>
        <v>0.5625</v>
      </c>
      <c r="I5" s="25" t="s">
        <v>40</v>
      </c>
      <c r="J5" s="27">
        <v>1</v>
      </c>
      <c r="K5" s="8">
        <v>0.6</v>
      </c>
      <c r="L5" s="8">
        <v>0.7</v>
      </c>
      <c r="M5" s="8">
        <v>0.5</v>
      </c>
      <c r="N5" s="8">
        <v>0.45</v>
      </c>
      <c r="O5" s="28">
        <f>AVERAGE(K5:N5)</f>
        <v>0.5625</v>
      </c>
    </row>
    <row r="6" spans="1:15" x14ac:dyDescent="0.25">
      <c r="A6" s="25" t="s">
        <v>1</v>
      </c>
      <c r="B6" s="27">
        <v>0.8</v>
      </c>
      <c r="C6" s="8">
        <v>0.5</v>
      </c>
      <c r="D6" s="8">
        <v>0.43</v>
      </c>
      <c r="E6" s="8">
        <v>0.85</v>
      </c>
      <c r="F6" s="8">
        <v>0.66</v>
      </c>
      <c r="G6" s="28">
        <f t="shared" ref="G6:G7" si="0">AVERAGE(C6:F6)</f>
        <v>0.61</v>
      </c>
      <c r="I6" s="25" t="s">
        <v>37</v>
      </c>
      <c r="J6" s="27">
        <v>1</v>
      </c>
      <c r="K6" s="8">
        <v>0.5</v>
      </c>
      <c r="L6" s="8">
        <v>0.43</v>
      </c>
      <c r="M6" s="8">
        <v>0.85</v>
      </c>
      <c r="N6" s="8">
        <v>0.66</v>
      </c>
      <c r="O6" s="28">
        <f t="shared" ref="O6:O8" si="1">AVERAGE(K6:N6)</f>
        <v>0.61</v>
      </c>
    </row>
    <row r="7" spans="1:15" x14ac:dyDescent="0.25">
      <c r="A7" s="25" t="s">
        <v>24</v>
      </c>
      <c r="B7" s="27">
        <v>0.8</v>
      </c>
      <c r="C7" s="8">
        <v>0.54</v>
      </c>
      <c r="D7" s="8">
        <v>0.66</v>
      </c>
      <c r="E7" s="8">
        <v>0.68</v>
      </c>
      <c r="F7" s="8">
        <v>0.7</v>
      </c>
      <c r="G7" s="28">
        <f t="shared" si="0"/>
        <v>0.64500000000000002</v>
      </c>
      <c r="I7" s="25" t="s">
        <v>38</v>
      </c>
      <c r="J7" s="27">
        <v>1</v>
      </c>
      <c r="K7" s="8">
        <v>0.54</v>
      </c>
      <c r="L7" s="8">
        <v>0.66</v>
      </c>
      <c r="M7" s="8">
        <v>0.68</v>
      </c>
      <c r="N7" s="8">
        <v>0.7</v>
      </c>
      <c r="O7" s="28">
        <f t="shared" si="1"/>
        <v>0.64500000000000002</v>
      </c>
    </row>
    <row r="8" spans="1:15" ht="15.75" customHeight="1" x14ac:dyDescent="0.25">
      <c r="A8" s="29" t="s">
        <v>46</v>
      </c>
      <c r="B8" s="6"/>
      <c r="C8" s="9"/>
      <c r="D8" s="9"/>
      <c r="E8" s="9"/>
      <c r="F8" s="9"/>
      <c r="G8" s="9"/>
      <c r="I8" s="29" t="s">
        <v>41</v>
      </c>
      <c r="J8" s="27">
        <v>1</v>
      </c>
      <c r="K8" s="8">
        <v>0.6</v>
      </c>
      <c r="L8" s="8">
        <v>0.7</v>
      </c>
      <c r="M8" s="8">
        <v>0.5</v>
      </c>
      <c r="N8" s="8">
        <v>0.45</v>
      </c>
      <c r="O8" s="28">
        <f t="shared" si="1"/>
        <v>0.5625</v>
      </c>
    </row>
    <row r="9" spans="1:15" ht="16.5" customHeight="1" x14ac:dyDescent="0.25">
      <c r="A9" s="29" t="s">
        <v>46</v>
      </c>
      <c r="B9" s="6"/>
      <c r="C9" s="10"/>
      <c r="D9" s="10"/>
      <c r="E9" s="10"/>
      <c r="F9" s="10"/>
      <c r="G9" s="10"/>
      <c r="I9" s="29" t="s">
        <v>26</v>
      </c>
      <c r="J9" s="27">
        <v>0.9</v>
      </c>
      <c r="K9" s="8">
        <v>0.5</v>
      </c>
      <c r="L9" s="8">
        <v>0.43</v>
      </c>
      <c r="M9" s="8">
        <v>0.85</v>
      </c>
      <c r="N9" s="8">
        <v>0.66</v>
      </c>
      <c r="O9" s="28">
        <f t="shared" ref="O9:O19" si="2">AVERAGE(K9:N9)</f>
        <v>0.61</v>
      </c>
    </row>
    <row r="10" spans="1:15" ht="15.75" x14ac:dyDescent="0.25">
      <c r="A10" s="21" t="s">
        <v>13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23</v>
      </c>
      <c r="H10" s="11"/>
      <c r="I10" s="29" t="s">
        <v>27</v>
      </c>
      <c r="J10" s="27">
        <v>0.9</v>
      </c>
      <c r="K10" s="8">
        <v>0.54</v>
      </c>
      <c r="L10" s="8">
        <v>0.66</v>
      </c>
      <c r="M10" s="8">
        <v>0.68</v>
      </c>
      <c r="N10" s="8">
        <v>0.7</v>
      </c>
      <c r="O10" s="28">
        <f t="shared" si="2"/>
        <v>0.64500000000000002</v>
      </c>
    </row>
    <row r="11" spans="1:15" x14ac:dyDescent="0.25">
      <c r="A11" s="29" t="s">
        <v>0</v>
      </c>
      <c r="B11" s="27">
        <v>0.95</v>
      </c>
      <c r="C11" s="8">
        <v>0.43</v>
      </c>
      <c r="D11" s="8">
        <v>0.54</v>
      </c>
      <c r="E11" s="8">
        <v>0.66</v>
      </c>
      <c r="F11" s="8">
        <v>0.7</v>
      </c>
      <c r="G11" s="8">
        <f>AVERAGE(C11:F11)</f>
        <v>0.58250000000000002</v>
      </c>
      <c r="H11" s="1"/>
      <c r="I11" s="29" t="s">
        <v>28</v>
      </c>
      <c r="J11" s="27">
        <v>0.9</v>
      </c>
      <c r="K11" s="8">
        <v>0.6</v>
      </c>
      <c r="L11" s="8">
        <v>0.7</v>
      </c>
      <c r="M11" s="8">
        <v>0.5</v>
      </c>
      <c r="N11" s="8">
        <v>0.45</v>
      </c>
      <c r="O11" s="28">
        <f t="shared" si="2"/>
        <v>0.5625</v>
      </c>
    </row>
    <row r="12" spans="1:15" x14ac:dyDescent="0.25">
      <c r="A12" s="25" t="s">
        <v>18</v>
      </c>
      <c r="B12" s="27">
        <v>0.95</v>
      </c>
      <c r="C12" s="8">
        <v>0.56000000000000005</v>
      </c>
      <c r="D12" s="8">
        <v>0.68</v>
      </c>
      <c r="E12" s="8">
        <v>0.72</v>
      </c>
      <c r="F12" s="8">
        <v>0.8</v>
      </c>
      <c r="G12" s="8">
        <f t="shared" ref="G12:G13" si="3">AVERAGE(C12:F12)</f>
        <v>0.69000000000000006</v>
      </c>
      <c r="H12" s="1"/>
      <c r="I12" s="29" t="s">
        <v>29</v>
      </c>
      <c r="J12" s="27">
        <v>0.9</v>
      </c>
      <c r="K12" s="8">
        <v>0.5</v>
      </c>
      <c r="L12" s="8">
        <v>0.43</v>
      </c>
      <c r="M12" s="8">
        <v>0.85</v>
      </c>
      <c r="N12" s="8">
        <v>0.66</v>
      </c>
      <c r="O12" s="28">
        <f t="shared" si="2"/>
        <v>0.61</v>
      </c>
    </row>
    <row r="13" spans="1:15" x14ac:dyDescent="0.25">
      <c r="A13" s="25" t="s">
        <v>20</v>
      </c>
      <c r="B13" s="27">
        <v>0.95</v>
      </c>
      <c r="C13" s="8">
        <v>0.45</v>
      </c>
      <c r="D13" s="8">
        <v>0.45</v>
      </c>
      <c r="E13" s="8">
        <v>0.65</v>
      </c>
      <c r="F13" s="8">
        <v>0.7</v>
      </c>
      <c r="G13" s="8">
        <f t="shared" si="3"/>
        <v>0.5625</v>
      </c>
      <c r="I13" s="29" t="s">
        <v>30</v>
      </c>
      <c r="J13" s="27">
        <v>0.8</v>
      </c>
      <c r="K13" s="8">
        <v>0.54</v>
      </c>
      <c r="L13" s="8">
        <v>0.66</v>
      </c>
      <c r="M13" s="8">
        <v>0.68</v>
      </c>
      <c r="N13" s="8">
        <v>0.7</v>
      </c>
      <c r="O13" s="28">
        <f t="shared" si="2"/>
        <v>0.64500000000000002</v>
      </c>
    </row>
    <row r="14" spans="1:15" x14ac:dyDescent="0.25">
      <c r="A14" s="29" t="s">
        <v>46</v>
      </c>
      <c r="B14" s="6"/>
      <c r="C14" s="12"/>
      <c r="D14" s="12"/>
      <c r="E14" s="12"/>
      <c r="F14" s="12"/>
      <c r="G14" s="12"/>
      <c r="I14" s="29" t="s">
        <v>31</v>
      </c>
      <c r="J14" s="27">
        <v>0.8</v>
      </c>
      <c r="K14" s="8">
        <v>0.6</v>
      </c>
      <c r="L14" s="8">
        <v>0.7</v>
      </c>
      <c r="M14" s="8">
        <v>0.5</v>
      </c>
      <c r="N14" s="8">
        <v>0.45</v>
      </c>
      <c r="O14" s="28">
        <f t="shared" si="2"/>
        <v>0.5625</v>
      </c>
    </row>
    <row r="15" spans="1:15" x14ac:dyDescent="0.25">
      <c r="A15" s="29" t="s">
        <v>46</v>
      </c>
      <c r="B15" s="6"/>
      <c r="C15" s="12"/>
      <c r="D15" s="12"/>
      <c r="E15" s="12"/>
      <c r="F15" s="12"/>
      <c r="G15" s="12"/>
      <c r="I15" s="29" t="s">
        <v>32</v>
      </c>
      <c r="J15" s="27">
        <v>0.8</v>
      </c>
      <c r="K15" s="8">
        <v>0.5</v>
      </c>
      <c r="L15" s="8">
        <v>0.43</v>
      </c>
      <c r="M15" s="8">
        <v>0.85</v>
      </c>
      <c r="N15" s="8">
        <v>0.66</v>
      </c>
      <c r="O15" s="28">
        <f t="shared" si="2"/>
        <v>0.61</v>
      </c>
    </row>
    <row r="16" spans="1:15" s="14" customFormat="1" ht="15.75" x14ac:dyDescent="0.25">
      <c r="A16" s="22" t="s">
        <v>12</v>
      </c>
      <c r="B16" s="4" t="s">
        <v>4</v>
      </c>
      <c r="C16" s="4" t="s">
        <v>5</v>
      </c>
      <c r="D16" s="4" t="s">
        <v>6</v>
      </c>
      <c r="E16" s="4" t="s">
        <v>7</v>
      </c>
      <c r="F16" s="4" t="s">
        <v>8</v>
      </c>
      <c r="G16" s="4" t="s">
        <v>23</v>
      </c>
      <c r="H16" s="3"/>
      <c r="I16" s="29" t="s">
        <v>33</v>
      </c>
      <c r="J16" s="27">
        <v>0.8</v>
      </c>
      <c r="K16" s="8">
        <v>0.54</v>
      </c>
      <c r="L16" s="8">
        <v>0.66</v>
      </c>
      <c r="M16" s="8">
        <v>0.68</v>
      </c>
      <c r="N16" s="8">
        <v>0.7</v>
      </c>
      <c r="O16" s="28">
        <f t="shared" si="2"/>
        <v>0.64500000000000002</v>
      </c>
    </row>
    <row r="17" spans="1:15" s="14" customFormat="1" x14ac:dyDescent="0.25">
      <c r="A17" s="25" t="s">
        <v>2</v>
      </c>
      <c r="B17" s="27">
        <v>0.75</v>
      </c>
      <c r="C17" s="8">
        <v>0.21</v>
      </c>
      <c r="D17" s="8">
        <v>0.45</v>
      </c>
      <c r="E17" s="8">
        <v>0.5</v>
      </c>
      <c r="F17" s="8">
        <v>0.65</v>
      </c>
      <c r="G17" s="8">
        <f>AVERAGE(C17:F17)</f>
        <v>0.45250000000000001</v>
      </c>
      <c r="I17" s="29" t="s">
        <v>34</v>
      </c>
      <c r="J17" s="27">
        <v>0.7</v>
      </c>
      <c r="K17" s="8">
        <v>0.6</v>
      </c>
      <c r="L17" s="8">
        <v>0.7</v>
      </c>
      <c r="M17" s="8">
        <v>0.5</v>
      </c>
      <c r="N17" s="8">
        <v>0.45</v>
      </c>
      <c r="O17" s="28">
        <f t="shared" si="2"/>
        <v>0.5625</v>
      </c>
    </row>
    <row r="18" spans="1:15" s="14" customFormat="1" x14ac:dyDescent="0.25">
      <c r="A18" s="25" t="s">
        <v>3</v>
      </c>
      <c r="B18" s="27">
        <v>0.8</v>
      </c>
      <c r="C18" s="8">
        <v>0.43</v>
      </c>
      <c r="D18" s="8">
        <v>0.65</v>
      </c>
      <c r="E18" s="8">
        <v>0.7</v>
      </c>
      <c r="F18" s="8">
        <v>0.8</v>
      </c>
      <c r="G18" s="8">
        <f t="shared" ref="G18:G19" si="4">AVERAGE(C18:F18)</f>
        <v>0.64500000000000002</v>
      </c>
      <c r="I18" s="29" t="s">
        <v>35</v>
      </c>
      <c r="J18" s="27">
        <v>0.7</v>
      </c>
      <c r="K18" s="8">
        <v>0.5</v>
      </c>
      <c r="L18" s="8">
        <v>0.43</v>
      </c>
      <c r="M18" s="8">
        <v>0.85</v>
      </c>
      <c r="N18" s="8">
        <v>0.66</v>
      </c>
      <c r="O18" s="28">
        <f t="shared" si="2"/>
        <v>0.61</v>
      </c>
    </row>
    <row r="19" spans="1:15" s="14" customFormat="1" x14ac:dyDescent="0.25">
      <c r="A19" s="25" t="s">
        <v>9</v>
      </c>
      <c r="B19" s="27">
        <v>0.05</v>
      </c>
      <c r="C19" s="8">
        <v>0.25</v>
      </c>
      <c r="D19" s="8">
        <v>0.2</v>
      </c>
      <c r="E19" s="8">
        <v>0.18</v>
      </c>
      <c r="F19" s="8">
        <v>0.1</v>
      </c>
      <c r="G19" s="8">
        <f t="shared" si="4"/>
        <v>0.1825</v>
      </c>
      <c r="I19" s="29" t="s">
        <v>36</v>
      </c>
      <c r="J19" s="27">
        <v>0.7</v>
      </c>
      <c r="K19" s="8">
        <v>0.54</v>
      </c>
      <c r="L19" s="8">
        <v>0.66</v>
      </c>
      <c r="M19" s="8">
        <v>0.68</v>
      </c>
      <c r="N19" s="8">
        <v>0.7</v>
      </c>
      <c r="O19" s="28">
        <f t="shared" si="2"/>
        <v>0.64500000000000002</v>
      </c>
    </row>
    <row r="20" spans="1:15" s="14" customFormat="1" x14ac:dyDescent="0.25">
      <c r="A20" s="29" t="s">
        <v>46</v>
      </c>
      <c r="B20" s="6"/>
      <c r="C20" s="7"/>
      <c r="D20" s="7"/>
      <c r="E20" s="7"/>
      <c r="F20" s="7"/>
      <c r="G20" s="7"/>
      <c r="I20" s="29" t="s">
        <v>39</v>
      </c>
      <c r="J20" s="27">
        <v>0.7</v>
      </c>
      <c r="K20" s="8">
        <v>0.54</v>
      </c>
      <c r="L20" s="8">
        <v>0.66</v>
      </c>
      <c r="M20" s="8">
        <v>0.68</v>
      </c>
      <c r="N20" s="8">
        <v>0.7</v>
      </c>
      <c r="O20" s="28">
        <f t="shared" ref="O20" si="5">AVERAGE(K20:N20)</f>
        <v>0.64500000000000002</v>
      </c>
    </row>
    <row r="21" spans="1:15" s="14" customFormat="1" x14ac:dyDescent="0.25">
      <c r="A21" s="29" t="s">
        <v>46</v>
      </c>
      <c r="B21" s="6"/>
      <c r="C21" s="10"/>
      <c r="D21" s="10"/>
      <c r="E21" s="10"/>
      <c r="F21" s="10"/>
      <c r="G21" s="10"/>
      <c r="J21" s="13"/>
      <c r="K21" s="13"/>
      <c r="L21" s="13"/>
      <c r="M21" s="13"/>
    </row>
    <row r="22" spans="1:15" s="14" customFormat="1" ht="15.75" x14ac:dyDescent="0.25">
      <c r="A22" s="23" t="s">
        <v>15</v>
      </c>
      <c r="B22" s="4" t="s">
        <v>4</v>
      </c>
      <c r="C22" s="4" t="s">
        <v>5</v>
      </c>
      <c r="D22" s="4" t="s">
        <v>6</v>
      </c>
      <c r="E22" s="4" t="s">
        <v>7</v>
      </c>
      <c r="F22" s="4" t="s">
        <v>8</v>
      </c>
      <c r="G22" s="4" t="s">
        <v>23</v>
      </c>
      <c r="I22" s="40" t="s">
        <v>45</v>
      </c>
      <c r="J22" s="40"/>
      <c r="K22" s="40"/>
      <c r="L22" s="40"/>
      <c r="M22" s="40"/>
      <c r="N22" s="40"/>
      <c r="O22" s="40"/>
    </row>
    <row r="23" spans="1:15" s="14" customFormat="1" x14ac:dyDescent="0.25">
      <c r="A23" s="25" t="s">
        <v>10</v>
      </c>
      <c r="B23" s="26">
        <v>3</v>
      </c>
      <c r="C23" s="7">
        <v>6.3</v>
      </c>
      <c r="D23" s="7">
        <v>6</v>
      </c>
      <c r="E23" s="7">
        <v>6.1</v>
      </c>
      <c r="F23" s="7">
        <v>4</v>
      </c>
      <c r="G23" s="7">
        <f>AVERAGE(C23:F23)</f>
        <v>5.6</v>
      </c>
      <c r="J23" s="13"/>
      <c r="K23" s="13"/>
      <c r="L23" s="13"/>
      <c r="M23" s="13"/>
    </row>
    <row r="24" spans="1:15" s="14" customFormat="1" x14ac:dyDescent="0.25">
      <c r="A24" s="25" t="s">
        <v>14</v>
      </c>
      <c r="B24" s="26">
        <v>30</v>
      </c>
      <c r="C24" s="7">
        <v>12</v>
      </c>
      <c r="D24" s="7">
        <v>25</v>
      </c>
      <c r="E24" s="7">
        <v>18</v>
      </c>
      <c r="F24" s="7">
        <v>8</v>
      </c>
      <c r="G24" s="7">
        <f t="shared" ref="G24:G25" si="6">AVERAGE(C24:F24)</f>
        <v>15.75</v>
      </c>
      <c r="J24" s="13"/>
      <c r="K24" s="13"/>
      <c r="L24" s="13"/>
      <c r="M24" s="13"/>
    </row>
    <row r="25" spans="1:15" s="14" customFormat="1" x14ac:dyDescent="0.25">
      <c r="A25" s="25" t="s">
        <v>16</v>
      </c>
      <c r="B25" s="27">
        <v>0.75</v>
      </c>
      <c r="C25" s="8">
        <v>0.5</v>
      </c>
      <c r="D25" s="8">
        <v>0.6</v>
      </c>
      <c r="E25" s="8">
        <v>0.75</v>
      </c>
      <c r="F25" s="8">
        <v>0.8</v>
      </c>
      <c r="G25" s="7">
        <f t="shared" si="6"/>
        <v>0.66250000000000009</v>
      </c>
      <c r="J25" s="13"/>
      <c r="K25" s="13"/>
      <c r="L25" s="13"/>
      <c r="M25" s="13"/>
    </row>
    <row r="26" spans="1:15" s="14" customFormat="1" x14ac:dyDescent="0.25">
      <c r="A26" s="29" t="s">
        <v>46</v>
      </c>
      <c r="B26" s="6"/>
      <c r="C26" s="9"/>
      <c r="D26" s="9"/>
      <c r="E26" s="9"/>
      <c r="F26" s="9"/>
      <c r="G26" s="9"/>
      <c r="J26" s="13"/>
      <c r="K26" s="13"/>
      <c r="L26" s="13"/>
      <c r="M26" s="13"/>
    </row>
    <row r="27" spans="1:15" s="14" customFormat="1" hidden="1" x14ac:dyDescent="0.25">
      <c r="A27" s="5"/>
      <c r="B27" s="6"/>
      <c r="C27" s="9"/>
      <c r="D27" s="9"/>
      <c r="E27" s="9"/>
      <c r="F27" s="9"/>
      <c r="G27" s="9"/>
      <c r="J27" s="13"/>
      <c r="K27" s="13"/>
      <c r="L27" s="13"/>
      <c r="M27" s="13"/>
    </row>
    <row r="28" spans="1:15" s="14" customFormat="1" hidden="1" x14ac:dyDescent="0.25">
      <c r="A28" s="5"/>
      <c r="B28" s="6"/>
      <c r="C28" s="12"/>
      <c r="D28" s="12"/>
      <c r="E28" s="12"/>
      <c r="F28" s="12"/>
      <c r="G28" s="12"/>
      <c r="J28" s="13"/>
      <c r="K28" s="13"/>
      <c r="L28" s="13"/>
      <c r="M28" s="13"/>
    </row>
    <row r="29" spans="1:15" s="14" customFormat="1" hidden="1" x14ac:dyDescent="0.25">
      <c r="A29" s="5"/>
      <c r="B29" s="6"/>
      <c r="C29" s="10"/>
      <c r="D29" s="10"/>
      <c r="E29" s="10"/>
      <c r="F29" s="10"/>
      <c r="G29" s="10"/>
      <c r="J29" s="13"/>
      <c r="K29" s="13"/>
      <c r="L29" s="13"/>
      <c r="M29" s="13"/>
    </row>
    <row r="30" spans="1:15" s="14" customFormat="1" hidden="1" x14ac:dyDescent="0.25">
      <c r="A30" s="15"/>
      <c r="B30" s="15"/>
      <c r="C30" s="16"/>
      <c r="D30" s="16"/>
      <c r="E30" s="16"/>
      <c r="F30" s="16"/>
      <c r="G30" s="16"/>
      <c r="J30" s="13"/>
      <c r="K30" s="13"/>
      <c r="L30" s="13"/>
      <c r="M30" s="13"/>
    </row>
    <row r="31" spans="1:15" s="14" customFormat="1" hidden="1" x14ac:dyDescent="0.25">
      <c r="A31" s="15"/>
      <c r="B31" s="15"/>
      <c r="C31" s="16"/>
      <c r="D31" s="16"/>
      <c r="E31" s="16"/>
      <c r="F31" s="16"/>
      <c r="G31" s="16"/>
      <c r="J31" s="13"/>
      <c r="K31" s="13"/>
      <c r="L31" s="13"/>
      <c r="M31" s="13"/>
    </row>
    <row r="32" spans="1:15" s="14" customFormat="1" hidden="1" x14ac:dyDescent="0.25">
      <c r="A32" s="15"/>
      <c r="B32" s="15"/>
      <c r="C32" s="16"/>
      <c r="D32" s="16"/>
      <c r="E32" s="16"/>
      <c r="F32" s="16"/>
      <c r="G32" s="16"/>
      <c r="J32" s="13"/>
      <c r="K32" s="13"/>
      <c r="L32" s="13"/>
      <c r="M32" s="13"/>
    </row>
    <row r="33" spans="1:15" hidden="1" x14ac:dyDescent="0.25">
      <c r="A33" s="17"/>
      <c r="B33" s="17"/>
      <c r="C33" s="18"/>
      <c r="D33" s="18"/>
      <c r="E33" s="18"/>
      <c r="F33" s="18"/>
      <c r="G33" s="18"/>
      <c r="H33" s="1"/>
      <c r="I33" s="1"/>
      <c r="J33" s="2"/>
      <c r="K33" s="2"/>
      <c r="L33" s="2"/>
      <c r="M33" s="2"/>
      <c r="N33" s="1"/>
    </row>
    <row r="34" spans="1:15" hidden="1" x14ac:dyDescent="0.25">
      <c r="A34" s="17"/>
      <c r="B34" s="17"/>
      <c r="C34" s="18"/>
      <c r="D34" s="18"/>
      <c r="E34" s="18"/>
      <c r="F34" s="18"/>
      <c r="G34" s="18"/>
      <c r="H34" s="1"/>
      <c r="I34" s="1"/>
      <c r="J34" s="2"/>
      <c r="K34" s="2"/>
      <c r="L34" s="2"/>
      <c r="M34" s="2"/>
      <c r="N34" s="1"/>
    </row>
    <row r="35" spans="1:15" hidden="1" x14ac:dyDescent="0.25">
      <c r="A35" s="17"/>
      <c r="B35" s="17"/>
      <c r="C35" s="18"/>
      <c r="D35" s="18"/>
      <c r="E35" s="18"/>
      <c r="F35" s="18"/>
      <c r="G35" s="18"/>
      <c r="H35" s="1"/>
      <c r="I35" s="1"/>
      <c r="J35" s="2"/>
      <c r="K35" s="2"/>
      <c r="L35" s="2"/>
      <c r="M35" s="2"/>
      <c r="N35" s="1"/>
    </row>
    <row r="36" spans="1:15" x14ac:dyDescent="0.25">
      <c r="A36" s="29" t="s">
        <v>46</v>
      </c>
      <c r="B36" s="6"/>
      <c r="C36" s="10"/>
      <c r="D36" s="10"/>
      <c r="E36" s="10"/>
      <c r="F36" s="10"/>
      <c r="G36" s="10"/>
    </row>
    <row r="37" spans="1:15" x14ac:dyDescent="0.25"/>
    <row r="38" spans="1:15" x14ac:dyDescent="0.25">
      <c r="A38" s="24" t="s">
        <v>19</v>
      </c>
      <c r="C38" s="3"/>
      <c r="D38" s="3"/>
      <c r="E38" s="3"/>
      <c r="F38" s="3"/>
      <c r="G38" s="1"/>
      <c r="J38" s="3"/>
      <c r="K38" s="3"/>
      <c r="L38" s="3"/>
      <c r="M38" s="3"/>
    </row>
    <row r="39" spans="1:15" ht="15.75" customHeight="1" x14ac:dyDescent="0.25">
      <c r="A39" s="33" t="s">
        <v>11</v>
      </c>
      <c r="B39" s="39" t="s">
        <v>22</v>
      </c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</row>
    <row r="40" spans="1:15" ht="15.75" customHeight="1" x14ac:dyDescent="0.25">
      <c r="A40" s="34" t="s">
        <v>13</v>
      </c>
      <c r="B40" s="39" t="s">
        <v>22</v>
      </c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</row>
    <row r="41" spans="1:15" ht="15.75" customHeight="1" x14ac:dyDescent="0.25">
      <c r="A41" s="35" t="s">
        <v>12</v>
      </c>
      <c r="B41" s="39" t="s">
        <v>22</v>
      </c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</row>
    <row r="42" spans="1:15" ht="15.75" customHeight="1" x14ac:dyDescent="0.25">
      <c r="A42" s="36" t="s">
        <v>15</v>
      </c>
      <c r="B42" s="39" t="s">
        <v>22</v>
      </c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</row>
    <row r="43" spans="1:15" x14ac:dyDescent="0.25">
      <c r="A43" s="37" t="s">
        <v>45</v>
      </c>
      <c r="B43" s="39" t="s">
        <v>22</v>
      </c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</row>
    <row r="44" spans="1:15" x14ac:dyDescent="0.25"/>
    <row r="45" spans="1:15" x14ac:dyDescent="0.25"/>
    <row r="46" spans="1:15" x14ac:dyDescent="0.25"/>
    <row r="47" spans="1:15" x14ac:dyDescent="0.25"/>
    <row r="48" spans="1:15" x14ac:dyDescent="0.25"/>
    <row r="49" x14ac:dyDescent="0.25"/>
    <row r="50" x14ac:dyDescent="0.25"/>
    <row r="51" x14ac:dyDescent="0.25"/>
    <row r="52" x14ac:dyDescent="0.25"/>
    <row r="53" x14ac:dyDescent="0.25"/>
  </sheetData>
  <mergeCells count="7">
    <mergeCell ref="A2:O2"/>
    <mergeCell ref="B43:O43"/>
    <mergeCell ref="B42:O42"/>
    <mergeCell ref="B41:O41"/>
    <mergeCell ref="B40:O40"/>
    <mergeCell ref="B39:O39"/>
    <mergeCell ref="I22:O22"/>
  </mergeCells>
  <conditionalFormatting sqref="C12:G12">
    <cfRule type="cellIs" dxfId="51" priority="99" operator="lessThan">
      <formula>0.15</formula>
    </cfRule>
  </conditionalFormatting>
  <conditionalFormatting sqref="C13:G13">
    <cfRule type="cellIs" dxfId="50" priority="96" operator="lessThan">
      <formula>0.66</formula>
    </cfRule>
    <cfRule type="cellIs" dxfId="49" priority="97" operator="greaterThan">
      <formula>0.45</formula>
    </cfRule>
    <cfRule type="cellIs" dxfId="48" priority="98" operator="greaterThan">
      <formula>0.66</formula>
    </cfRule>
  </conditionalFormatting>
  <conditionalFormatting sqref="C24:F24">
    <cfRule type="cellIs" dxfId="47" priority="52" operator="lessThanOrEqual">
      <formula>5</formula>
    </cfRule>
    <cfRule type="cellIs" dxfId="46" priority="53" operator="lessThan">
      <formula>20</formula>
    </cfRule>
    <cfRule type="cellIs" dxfId="45" priority="54" operator="greaterThanOrEqual">
      <formula>20</formula>
    </cfRule>
  </conditionalFormatting>
  <conditionalFormatting sqref="C23:G23 G24:G25">
    <cfRule type="cellIs" dxfId="44" priority="44" operator="greaterThan">
      <formula>6</formula>
    </cfRule>
    <cfRule type="cellIs" dxfId="43" priority="45" operator="greaterThan">
      <formula>4</formula>
    </cfRule>
    <cfRule type="cellIs" dxfId="42" priority="46" operator="lessThanOrEqual">
      <formula>4</formula>
    </cfRule>
  </conditionalFormatting>
  <conditionalFormatting sqref="C5:G5 G6:G7">
    <cfRule type="cellIs" dxfId="41" priority="41" operator="greaterThan">
      <formula>50</formula>
    </cfRule>
    <cfRule type="cellIs" dxfId="40" priority="42" operator="lessThanOrEqual">
      <formula>50</formula>
    </cfRule>
    <cfRule type="cellIs" dxfId="39" priority="43" operator="lessThanOrEqual">
      <formula>25</formula>
    </cfRule>
  </conditionalFormatting>
  <conditionalFormatting sqref="C11:G13">
    <cfRule type="cellIs" dxfId="38" priority="55" operator="greaterThanOrEqual">
      <formula>0.75</formula>
    </cfRule>
    <cfRule type="cellIs" dxfId="37" priority="56" operator="greaterThanOrEqual">
      <formula>0.5</formula>
    </cfRule>
    <cfRule type="cellIs" dxfId="36" priority="57" operator="lessThan">
      <formula>0.5</formula>
    </cfRule>
  </conditionalFormatting>
  <conditionalFormatting sqref="C6:F6">
    <cfRule type="cellIs" dxfId="35" priority="34" operator="greaterThanOrEqual">
      <formula>0.75</formula>
    </cfRule>
    <cfRule type="cellIs" dxfId="34" priority="35" operator="greaterThanOrEqual">
      <formula>0.5</formula>
    </cfRule>
    <cfRule type="cellIs" dxfId="33" priority="36" operator="lessThan">
      <formula>0.5</formula>
    </cfRule>
  </conditionalFormatting>
  <conditionalFormatting sqref="C7:F7">
    <cfRule type="cellIs" dxfId="32" priority="31" operator="greaterThanOrEqual">
      <formula>0.75</formula>
    </cfRule>
    <cfRule type="cellIs" dxfId="31" priority="32" operator="greaterThanOrEqual">
      <formula>0.5</formula>
    </cfRule>
    <cfRule type="cellIs" dxfId="30" priority="33" operator="lessThan">
      <formula>0.5</formula>
    </cfRule>
  </conditionalFormatting>
  <conditionalFormatting sqref="C17:G17 C18:F18 G18:G19">
    <cfRule type="cellIs" dxfId="29" priority="28" operator="greaterThanOrEqual">
      <formula>0.75</formula>
    </cfRule>
    <cfRule type="cellIs" dxfId="28" priority="29" operator="greaterThanOrEqual">
      <formula>0.5</formula>
    </cfRule>
    <cfRule type="cellIs" dxfId="27" priority="30" operator="lessThan">
      <formula>0.5</formula>
    </cfRule>
  </conditionalFormatting>
  <conditionalFormatting sqref="C19:F19">
    <cfRule type="cellIs" dxfId="26" priority="25" operator="lessThanOrEqual">
      <formula>0.1</formula>
    </cfRule>
    <cfRule type="cellIs" dxfId="25" priority="26" operator="lessThanOrEqual">
      <formula>0.2</formula>
    </cfRule>
    <cfRule type="cellIs" dxfId="24" priority="27" operator="greaterThan">
      <formula>0.2</formula>
    </cfRule>
  </conditionalFormatting>
  <conditionalFormatting sqref="C25:F25">
    <cfRule type="cellIs" dxfId="23" priority="22" operator="lessThan">
      <formula>0.66</formula>
    </cfRule>
    <cfRule type="cellIs" dxfId="22" priority="23" operator="greaterThan">
      <formula>0.45</formula>
    </cfRule>
    <cfRule type="cellIs" dxfId="21" priority="24" operator="greaterThan">
      <formula>0.66</formula>
    </cfRule>
  </conditionalFormatting>
  <conditionalFormatting sqref="C25:F25">
    <cfRule type="cellIs" dxfId="20" priority="19" operator="greaterThanOrEqual">
      <formula>0.75</formula>
    </cfRule>
    <cfRule type="cellIs" dxfId="19" priority="20" operator="greaterThanOrEqual">
      <formula>0.5</formula>
    </cfRule>
    <cfRule type="cellIs" dxfId="18" priority="21" operator="lessThan">
      <formula>0.5</formula>
    </cfRule>
  </conditionalFormatting>
  <conditionalFormatting sqref="K5:O5 O6:O7">
    <cfRule type="cellIs" dxfId="17" priority="16" operator="greaterThan">
      <formula>50</formula>
    </cfRule>
    <cfRule type="cellIs" dxfId="16" priority="17" operator="lessThanOrEqual">
      <formula>50</formula>
    </cfRule>
    <cfRule type="cellIs" dxfId="15" priority="18" operator="lessThanOrEqual">
      <formula>25</formula>
    </cfRule>
  </conditionalFormatting>
  <conditionalFormatting sqref="K6:N6">
    <cfRule type="cellIs" dxfId="14" priority="13" operator="greaterThanOrEqual">
      <formula>0.75</formula>
    </cfRule>
    <cfRule type="cellIs" dxfId="13" priority="14" operator="greaterThanOrEqual">
      <formula>0.5</formula>
    </cfRule>
    <cfRule type="cellIs" dxfId="12" priority="15" operator="lessThan">
      <formula>0.5</formula>
    </cfRule>
  </conditionalFormatting>
  <conditionalFormatting sqref="K7:N7">
    <cfRule type="cellIs" dxfId="11" priority="10" operator="greaterThanOrEqual">
      <formula>0.75</formula>
    </cfRule>
    <cfRule type="cellIs" dxfId="10" priority="11" operator="greaterThanOrEqual">
      <formula>0.5</formula>
    </cfRule>
    <cfRule type="cellIs" dxfId="9" priority="12" operator="lessThan">
      <formula>0.5</formula>
    </cfRule>
  </conditionalFormatting>
  <conditionalFormatting sqref="K8:O8 K11:O11 K14:O14 K17:O17 O9:O10 O12:O13 O15:O16 O18:O20">
    <cfRule type="cellIs" dxfId="8" priority="7" operator="greaterThan">
      <formula>50</formula>
    </cfRule>
    <cfRule type="cellIs" dxfId="7" priority="8" operator="lessThanOrEqual">
      <formula>50</formula>
    </cfRule>
    <cfRule type="cellIs" dxfId="6" priority="9" operator="lessThanOrEqual">
      <formula>25</formula>
    </cfRule>
  </conditionalFormatting>
  <conditionalFormatting sqref="K9:N9 K12:N12 K15:N15 K18:N18">
    <cfRule type="cellIs" dxfId="5" priority="4" operator="greaterThanOrEqual">
      <formula>0.75</formula>
    </cfRule>
    <cfRule type="cellIs" dxfId="4" priority="5" operator="greaterThanOrEqual">
      <formula>0.5</formula>
    </cfRule>
    <cfRule type="cellIs" dxfId="3" priority="6" operator="lessThan">
      <formula>0.5</formula>
    </cfRule>
  </conditionalFormatting>
  <conditionalFormatting sqref="K10:N10 K13:N13 K16:N16 K19:N20">
    <cfRule type="cellIs" dxfId="2" priority="1" operator="greaterThanOrEqual">
      <formula>0.75</formula>
    </cfRule>
    <cfRule type="cellIs" dxfId="1" priority="2" operator="greaterThanOrEqual">
      <formula>0.5</formula>
    </cfRule>
    <cfRule type="cellIs" dxfId="0" priority="3" operator="lessThan">
      <formula>0.5</formula>
    </cfRule>
  </conditionalFormatting>
  <pageMargins left="0.7" right="0.7" top="0.75" bottom="0.75" header="0.3" footer="0.3"/>
  <pageSetup paperSize="9" scale="70" orientation="landscape" r:id="rId1"/>
  <headerFooter>
    <oddHeader>&amp;L[Your Organization] PMO Practitioner Course
PMO Dashboard Example</oddHeader>
    <oddFooter>&amp;R&amp;8&amp;K00-048Version 1.0 ¦ 12-Nov-2017</oddFooter>
  </headerFooter>
  <ignoredErrors>
    <ignoredError sqref="G5:G7 G11:G13 G17:G19 G23:G25 O5:O20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C5453B95467944A84A8CD1447947E6" ma:contentTypeVersion="4" ma:contentTypeDescription="Create a new document." ma:contentTypeScope="" ma:versionID="dc90caaf024d4b1381fbc71209bb1da9">
  <xsd:schema xmlns:xsd="http://www.w3.org/2001/XMLSchema" xmlns:xs="http://www.w3.org/2001/XMLSchema" xmlns:p="http://schemas.microsoft.com/office/2006/metadata/properties" xmlns:ns2="60d67d3b-6ae0-4ea6-996b-6c9ca7805e52" xmlns:ns3="e23f3031-754a-4af7-9d0b-960a640ec224" targetNamespace="http://schemas.microsoft.com/office/2006/metadata/properties" ma:root="true" ma:fieldsID="3a6bead7fbf4c7b5cfb260ee7f1ccc02" ns2:_="" ns3:_="">
    <xsd:import namespace="60d67d3b-6ae0-4ea6-996b-6c9ca7805e52"/>
    <xsd:import namespace="e23f3031-754a-4af7-9d0b-960a640ec22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d67d3b-6ae0-4ea6-996b-6c9ca7805e52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3f3031-754a-4af7-9d0b-960a640ec2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1CEE32-A35F-4B01-A414-1EE7C11DA7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05FCB71-1C72-4353-8CB2-0C2FC265CBDD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2BE45739-7684-4D91-864A-6DDE5E2F4B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d67d3b-6ae0-4ea6-996b-6c9ca7805e52"/>
    <ds:schemaRef ds:uri="e23f3031-754a-4af7-9d0b-960a640ec2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6340EE5-C972-4580-84AC-68B082E8BDD4}">
  <ds:schemaRefs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e23f3031-754a-4af7-9d0b-960a640ec224"/>
    <ds:schemaRef ds:uri="http://schemas.microsoft.com/office/2006/metadata/properties"/>
    <ds:schemaRef ds:uri="http://purl.org/dc/terms/"/>
    <ds:schemaRef ds:uri="60d67d3b-6ae0-4ea6-996b-6c9ca7805e52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Dashboard</vt:lpstr>
      <vt:lpstr>Dashboard!Print_Area</vt:lpstr>
    </vt:vector>
  </TitlesOfParts>
  <Company>ITPMO-in-a-Box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PMO KPI Dashboard</dc:title>
  <dc:creator>ITPMO-in-a-Box</dc:creator>
  <cp:lastModifiedBy>ITPMO-in-a-Box</cp:lastModifiedBy>
  <cp:lastPrinted>2017-11-12T20:26:40Z</cp:lastPrinted>
  <dcterms:created xsi:type="dcterms:W3CDTF">2017-11-12T19:44:00Z</dcterms:created>
  <dcterms:modified xsi:type="dcterms:W3CDTF">2022-02-06T07:23:26Z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0x0101002DC5453B95467944A84A8CD1447947E6</vt:lpwstr>
  </property>
</Properties>
</file>